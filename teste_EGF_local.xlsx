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EGF" sheetId="1" state="visible" r:id="rId1"/>
  </sheets>
  <definedNames>
    <definedName name="Data">OFFSET(#REF!,0,0,COUNT(#REF!),1)</definedName>
    <definedName name="Empresa">OFFSET(#REF!,0,0,COUNTA(#REF!)-1,1)</definedName>
    <definedName name="Empresas">OFFSET(#REF!,0,0,COUNTA(#REF!)-1,1)</definedName>
    <definedName name="FrasesComplementares">OFFSET(#REF!,0,0,COUNTA(#REF!)-1,1)</definedName>
    <definedName name="FrasesPerigo">OFFSET(#REF!,0,0,COUNTA(#REF!)-1,1)</definedName>
    <definedName name="FrasesPrecaucao">OFFSET(#REF!,0,0,COUNTA(#REF!)-1,1)</definedName>
    <definedName name="Matricula">OFFSET(#REF!,0,0,COUNTA(#REF!)-2,1)</definedName>
    <definedName name="Matriculas">#REF!</definedName>
    <definedName name="Pictograma1">INDEX(#REF!,MATCH(#REF!,#REF!,0))</definedName>
    <definedName name="Pictograma2">INDEX(#REF!,MATCH(#REF!,#REF!,0))</definedName>
    <definedName name="Pictograma3">INDEX(#REF!,MATCH(#REF!,#REF!,0))</definedName>
    <definedName name="Pictograma4">INDEX(#REF!,MATCH(#REF!,#REF!,0))</definedName>
    <definedName name="Pictogramas">OFFSET(#REF!,0,0,COUNTA(#REF!)-1,1)</definedName>
    <definedName name="Referencia">OFFSET(#REF!,0,0,COUNTA(#REF!)-2,1)</definedName>
    <definedName name="_xlnm.Print_Area" localSheetId="0">'EGF'!$A$1:$J$58</definedName>
  </definedNames>
  <calcPr calcId="191029" fullCalcOnLoad="1"/>
</workbook>
</file>

<file path=xl/calcChain.xml><?xml version="1.0" encoding="utf-8"?>
<calcChain xmlns="http://schemas.openxmlformats.org/spreadsheetml/2006/main">
  <c r="I52" i="1" l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Q3" i="1"/>
  <c r="O3" i="1"/>
  <c r="O4" i="1" s="1"/>
</calcChain>
</file>

<file path=xl/sharedStrings.xml><?xml version="1.0" encoding="utf-8"?>
<sst xmlns="http://schemas.openxmlformats.org/spreadsheetml/2006/main" count="39" uniqueCount="38">
  <si>
    <t>ENGEFAL EMPREITEIA E SERVIÇOS LTDA</t>
  </si>
  <si>
    <t>Data:</t>
  </si>
  <si>
    <t>R. do Iverno, 258 - Jd. Guarani</t>
  </si>
  <si>
    <t>CEP: 02848-050</t>
  </si>
  <si>
    <t>Orçamento:</t>
  </si>
  <si>
    <t>CNPJ: 47.445.303/0001-81</t>
  </si>
  <si>
    <t>Mão de obra</t>
  </si>
  <si>
    <t>Incluso ferramentas e mão de obra na prestação do serviço</t>
  </si>
  <si>
    <t>Dados do cliente</t>
  </si>
  <si>
    <t>Material</t>
  </si>
  <si>
    <t>Cliente:</t>
  </si>
  <si>
    <t>Contato</t>
  </si>
  <si>
    <t>Endereço:</t>
  </si>
  <si>
    <t>Escola:</t>
  </si>
  <si>
    <t>CNPJ:</t>
  </si>
  <si>
    <t>Telefone:</t>
  </si>
  <si>
    <t>Proposta</t>
  </si>
  <si>
    <t>Condições pagamento:</t>
  </si>
  <si>
    <t xml:space="preserve">A vista </t>
  </si>
  <si>
    <t>Felipe Gomes</t>
  </si>
  <si>
    <t>(11) 98151-8920</t>
  </si>
  <si>
    <t>Validade da proposta:</t>
  </si>
  <si>
    <t>60 dias</t>
  </si>
  <si>
    <t>Leonardo Braulino</t>
  </si>
  <si>
    <t>(11) 96928-6036</t>
  </si>
  <si>
    <t>Objetivo da proposta</t>
  </si>
  <si>
    <t>A presente proposta tem por objetivo a prestação de serviços de:</t>
  </si>
  <si>
    <t>Item</t>
  </si>
  <si>
    <t>Código</t>
  </si>
  <si>
    <t>Qtd</t>
  </si>
  <si>
    <t>Und</t>
  </si>
  <si>
    <t>Descrição</t>
  </si>
  <si>
    <t>Vl. unitário</t>
  </si>
  <si>
    <t>Vl Total</t>
  </si>
  <si>
    <t>VALOR TOTAL</t>
  </si>
  <si>
    <t>PRAZO DE ENTREGA</t>
  </si>
  <si>
    <t>A combinar</t>
  </si>
  <si>
    <t>Observações:</t>
  </si>
</sst>
</file>

<file path=xl/styles.xml><?xml version="1.0" encoding="utf-8"?>
<styleSheet xmlns="http://schemas.openxmlformats.org/spreadsheetml/2006/main">
  <numFmts count="2">
    <numFmt numFmtId="164" formatCode="00#########"/>
    <numFmt numFmtId="165" formatCode="_-&quot;R$&quot;\ * #,##0.00_-;\-&quot;R$&quot;\ * #,##0.00_-;_-&quot;R$&quot;\ * &quot;-&quot;??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entury Gothic"/>
      <family val="2"/>
      <b val="1"/>
      <color theme="1"/>
      <sz val="18"/>
    </font>
    <font>
      <name val="Century Gothic"/>
      <family val="2"/>
      <color theme="1"/>
      <sz val="18"/>
    </font>
    <font>
      <name val="Calibri"/>
      <family val="2"/>
      <b val="1"/>
      <color theme="1"/>
      <sz val="18"/>
      <scheme val="minor"/>
    </font>
    <font>
      <name val="Century Gothic"/>
      <family val="2"/>
      <color theme="1"/>
      <sz val="20"/>
    </font>
    <font>
      <name val="Calibri"/>
      <family val="2"/>
      <color theme="1"/>
      <sz val="22"/>
      <scheme val="minor"/>
    </font>
    <font>
      <name val="Calibri"/>
      <family val="2"/>
      <color theme="1"/>
      <sz val="16"/>
      <scheme val="minor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ashed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73">
    <xf numFmtId="0" fontId="0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14" fontId="2" fillId="0" borderId="3" applyAlignment="1" pivotButton="0" quotePrefix="0" xfId="0">
      <alignment horizontal="left"/>
    </xf>
    <xf numFmtId="0" fontId="2" fillId="0" borderId="5" pivotButton="0" quotePrefix="0" xfId="0"/>
    <xf numFmtId="14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5" fillId="0" borderId="5" applyAlignment="1" pivotButton="0" quotePrefix="0" xfId="0">
      <alignment horizontal="left"/>
    </xf>
    <xf numFmtId="0" fontId="2" fillId="0" borderId="6" pivotButton="0" quotePrefix="0" xfId="0"/>
    <xf numFmtId="0" fontId="2" fillId="0" borderId="7" pivotButton="0" quotePrefix="0" xfId="0"/>
    <xf numFmtId="0" fontId="4" fillId="0" borderId="7" applyAlignment="1" pivotButton="0" quotePrefix="0" xfId="0">
      <alignment horizontal="center" vertical="center"/>
    </xf>
    <xf numFmtId="0" fontId="2" fillId="0" borderId="8" pivotButton="0" quotePrefix="0" xfId="0"/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3" fillId="0" borderId="13" applyAlignment="1" pivotButton="0" quotePrefix="0" xfId="0">
      <alignment horizontal="right" vertical="center"/>
    </xf>
    <xf numFmtId="0" fontId="4" fillId="0" borderId="11" applyAlignment="1" pivotButton="0" quotePrefix="0" xfId="0">
      <alignment horizontal="left" vertical="center"/>
    </xf>
    <xf numFmtId="0" fontId="3" fillId="0" borderId="14" applyAlignment="1" pivotButton="0" quotePrefix="0" xfId="0">
      <alignment horizontal="left" vertical="top"/>
    </xf>
    <xf numFmtId="0" fontId="4" fillId="0" borderId="15" applyAlignment="1" pivotButton="0" quotePrefix="0" xfId="0">
      <alignment horizontal="left" vertical="top"/>
    </xf>
    <xf numFmtId="0" fontId="4" fillId="0" borderId="15" applyAlignment="1" pivotButton="0" quotePrefix="0" xfId="0">
      <alignment horizontal="center" vertical="top"/>
    </xf>
    <xf numFmtId="0" fontId="3" fillId="0" borderId="15" applyAlignment="1" pivotButton="0" quotePrefix="0" xfId="0">
      <alignment horizontal="center" vertical="top"/>
    </xf>
    <xf numFmtId="0" fontId="3" fillId="0" borderId="15" applyAlignment="1" pivotButton="0" quotePrefix="0" xfId="0">
      <alignment horizontal="right" vertical="top"/>
    </xf>
    <xf numFmtId="0" fontId="4" fillId="0" borderId="16" applyAlignment="1" pivotButton="0" quotePrefix="0" xfId="0">
      <alignment horizontal="left" vertical="top"/>
    </xf>
    <xf numFmtId="0" fontId="4" fillId="0" borderId="0" pivotButton="0" quotePrefix="0" xfId="0"/>
    <xf numFmtId="0" fontId="4" fillId="0" borderId="18" applyAlignment="1" pivotButton="0" quotePrefix="0" xfId="0">
      <alignment vertical="top"/>
    </xf>
    <xf numFmtId="0" fontId="4" fillId="0" borderId="18" applyAlignment="1" pivotButton="0" quotePrefix="0" xfId="0">
      <alignment horizontal="left" vertical="top"/>
    </xf>
    <xf numFmtId="0" fontId="3" fillId="0" borderId="19" applyAlignment="1" pivotButton="0" quotePrefix="0" xfId="0">
      <alignment horizontal="left" vertical="top"/>
    </xf>
    <xf numFmtId="0" fontId="4" fillId="0" borderId="21" applyAlignment="1" pivotButton="0" quotePrefix="0" xfId="0">
      <alignment vertical="top"/>
    </xf>
    <xf numFmtId="0" fontId="3" fillId="0" borderId="22" applyAlignment="1" pivotButton="0" quotePrefix="0" xfId="0">
      <alignment horizontal="left" vertical="top"/>
    </xf>
    <xf numFmtId="0" fontId="4" fillId="0" borderId="15" applyAlignment="1" pivotButton="0" quotePrefix="0" xfId="0">
      <alignment vertical="top" wrapText="1"/>
    </xf>
    <xf numFmtId="0" fontId="3" fillId="0" borderId="15" applyAlignment="1" pivotButton="0" quotePrefix="0" xfId="0">
      <alignment vertical="top" wrapText="1"/>
    </xf>
    <xf numFmtId="0" fontId="4" fillId="0" borderId="16" applyAlignment="1" pivotButton="0" quotePrefix="0" xfId="0">
      <alignment vertical="top" wrapText="1"/>
    </xf>
    <xf numFmtId="0" fontId="3" fillId="0" borderId="23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3" applyAlignment="1" pivotButton="0" quotePrefix="0" xfId="0">
      <alignment horizontal="left" vertical="center" wrapText="1"/>
    </xf>
    <xf numFmtId="165" fontId="6" fillId="0" borderId="9" applyAlignment="1" pivotButton="0" quotePrefix="0" xfId="1">
      <alignment horizontal="center" vertical="center"/>
    </xf>
    <xf numFmtId="165" fontId="6" fillId="0" borderId="23" applyAlignment="1" pivotButton="0" quotePrefix="0" xfId="1">
      <alignment horizontal="center" vertical="center"/>
    </xf>
    <xf numFmtId="165" fontId="2" fillId="0" borderId="5" pivotButton="0" quotePrefix="0" xfId="1"/>
    <xf numFmtId="165" fontId="7" fillId="0" borderId="24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9" applyAlignment="1" pivotButton="0" quotePrefix="0" xfId="0">
      <alignment horizontal="right" vertical="center"/>
    </xf>
    <xf numFmtId="0" fontId="3" fillId="0" borderId="10" applyAlignment="1" pivotButton="0" quotePrefix="0" xfId="0">
      <alignment horizontal="right" vertical="center"/>
    </xf>
    <xf numFmtId="0" fontId="3" fillId="0" borderId="11" applyAlignment="1" pivotButton="0" quotePrefix="0" xfId="0">
      <alignment horizontal="right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top"/>
    </xf>
    <xf numFmtId="0" fontId="3" fillId="0" borderId="18" applyAlignment="1" pivotButton="0" quotePrefix="0" xfId="0">
      <alignment horizontal="center" vertical="top"/>
    </xf>
    <xf numFmtId="0" fontId="3" fillId="0" borderId="20" applyAlignment="1" pivotButton="0" quotePrefix="0" xfId="0">
      <alignment horizontal="center" vertical="top"/>
    </xf>
    <xf numFmtId="0" fontId="3" fillId="0" borderId="21" applyAlignment="1" pivotButton="0" quotePrefix="0" xfId="0">
      <alignment horizontal="center" vertical="top"/>
    </xf>
    <xf numFmtId="0" fontId="3" fillId="0" borderId="14" applyAlignment="1" pivotButton="0" quotePrefix="0" xfId="0">
      <alignment horizontal="center" vertical="top"/>
    </xf>
    <xf numFmtId="0" fontId="3" fillId="0" borderId="15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5" pivotButton="0" quotePrefix="0" xfId="0"/>
    <xf numFmtId="165" fontId="6" fillId="0" borderId="9" applyAlignment="1" pivotButton="0" quotePrefix="0" xfId="1">
      <alignment horizontal="center" vertical="center"/>
    </xf>
    <xf numFmtId="165" fontId="6" fillId="0" borderId="23" applyAlignment="1" pivotButton="0" quotePrefix="0" xfId="1">
      <alignment horizontal="center" vertical="center"/>
    </xf>
    <xf numFmtId="165" fontId="2" fillId="0" borderId="5" pivotButton="0" quotePrefix="0" xfId="1"/>
    <xf numFmtId="165" fontId="7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right" vertic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53686</xdr:colOff>
      <xdr:row>2</xdr:row>
      <xdr:rowOff>63211</xdr:rowOff>
    </xdr:from>
    <xdr:ext cx="3097215" cy="1131744"/>
    <xdr:pic>
      <xdr:nvPicPr>
        <xdr:cNvPr id="2" name="Imagem 1">
          <a:extLst>
            <a:ext uri="{FF2B5EF4-FFF2-40B4-BE49-F238E27FC236}">
              <a16:creationId xmlns:a16="http://schemas.microsoft.com/office/drawing/2014/main" id="{F7440637-A3A6-4D78-B9FD-98661926C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711" y="348961"/>
          <a:ext cx="3097215" cy="11317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Q58"/>
  <sheetViews>
    <sheetView showGridLines="0" tabSelected="1" zoomScale="55" zoomScaleNormal="55" zoomScaleSheetLayoutView="100" workbookViewId="0">
      <selection activeCell="D9" sqref="D9:E9"/>
    </sheetView>
  </sheetViews>
  <sheetFormatPr baseColWidth="8" defaultRowHeight="15"/>
  <cols>
    <col width="1.28515625" customWidth="1" min="1" max="1"/>
    <col width="1.7109375" customWidth="1" min="2" max="2"/>
    <col width="18" customWidth="1" min="3" max="3"/>
    <col width="71.42578125" customWidth="1" min="4" max="4"/>
    <col width="10" customWidth="1" min="5" max="5"/>
    <col width="16.7109375" bestFit="1" customWidth="1" min="6" max="6"/>
    <col width="143.7109375" bestFit="1" customWidth="1" min="7" max="7"/>
    <col width="31.28515625" customWidth="1" min="8" max="8"/>
    <col width="70.7109375" bestFit="1" customWidth="1" min="9" max="9"/>
    <col width="1.7109375" customWidth="1" min="10" max="10"/>
    <col width="9.140625" customWidth="1" min="14" max="14"/>
    <col width="13.7109375" bestFit="1" customWidth="1" min="15" max="15"/>
    <col width="13.85546875" bestFit="1" customWidth="1" min="16" max="16"/>
    <col width="11.5703125" bestFit="1" customWidth="1" min="21" max="21"/>
  </cols>
  <sheetData>
    <row r="2" ht="7.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3.25" customHeight="1">
      <c r="B3" s="4" t="n"/>
      <c r="C3" s="1" t="n"/>
      <c r="D3" s="2" t="n"/>
      <c r="E3" s="2" t="n"/>
      <c r="F3" s="2" t="n"/>
      <c r="G3" s="5" t="inlineStr">
        <is>
          <t>ENGEFAL EMPREITEIA E SERVIÇOS LTDA</t>
        </is>
      </c>
      <c r="H3" s="6" t="inlineStr">
        <is>
          <t>Data:</t>
        </is>
      </c>
      <c r="I3" s="7" t="n">
        <v>46175.97028241698</v>
      </c>
      <c r="J3" s="8" t="n"/>
      <c r="O3" s="9">
        <f>TODAY()</f>
        <v/>
      </c>
      <c r="Q3">
        <f>D9</f>
        <v/>
      </c>
    </row>
    <row r="4" ht="24" customHeight="1">
      <c r="B4" s="4" t="n"/>
      <c r="C4" s="4" t="n"/>
      <c r="D4" s="10" t="n"/>
      <c r="E4" s="10" t="n"/>
      <c r="F4" s="10" t="n"/>
      <c r="G4" s="11" t="inlineStr">
        <is>
          <t>R. do Iverno, 258 - Jd. Guarani</t>
        </is>
      </c>
      <c r="H4" s="10" t="n"/>
      <c r="I4" s="8" t="n"/>
      <c r="J4" s="8" t="n"/>
      <c r="O4" s="9">
        <f>O3-7</f>
        <v/>
      </c>
    </row>
    <row r="5" ht="24" customHeight="1">
      <c r="B5" s="4" t="n"/>
      <c r="C5" s="4" t="n"/>
      <c r="D5" s="10" t="n"/>
      <c r="E5" s="10" t="n"/>
      <c r="F5" s="10" t="n"/>
      <c r="G5" s="11" t="inlineStr">
        <is>
          <t>CEP: 02848-050</t>
        </is>
      </c>
      <c r="H5" s="12" t="inlineStr">
        <is>
          <t>Orçamento:</t>
        </is>
      </c>
      <c r="I5" s="13" t="n">
        <v>1</v>
      </c>
      <c r="J5" s="8" t="n"/>
    </row>
    <row r="6" ht="24" customHeight="1">
      <c r="B6" s="4" t="n"/>
      <c r="C6" s="14" t="n"/>
      <c r="D6" s="15" t="n"/>
      <c r="E6" s="15" t="n"/>
      <c r="F6" s="15" t="n"/>
      <c r="G6" s="16" t="inlineStr">
        <is>
          <t>CNPJ: 47.445.303/0001-81</t>
        </is>
      </c>
      <c r="H6" s="15" t="n"/>
      <c r="I6" s="17" t="n"/>
      <c r="J6" s="8" t="n"/>
    </row>
    <row r="7" ht="23.25" customHeight="1">
      <c r="B7" s="4" t="n"/>
      <c r="C7" s="10" t="n"/>
      <c r="D7" s="10" t="n"/>
      <c r="E7" s="10" t="n"/>
      <c r="F7" s="10" t="n"/>
      <c r="G7" s="10" t="n"/>
      <c r="H7" s="10" t="n"/>
      <c r="I7" s="10" t="n"/>
      <c r="J7" s="8" t="n"/>
      <c r="P7" t="inlineStr">
        <is>
          <t>Mão de obra</t>
        </is>
      </c>
      <c r="Q7" t="inlineStr">
        <is>
          <t>Incluso ferramentas e mão de obra na prestação do serviço</t>
        </is>
      </c>
    </row>
    <row r="8" ht="39.95" customHeight="1">
      <c r="B8" s="4" t="n"/>
      <c r="C8" s="39" t="inlineStr">
        <is>
          <t>Dados do cliente</t>
        </is>
      </c>
      <c r="D8" s="62" t="n"/>
      <c r="E8" s="62" t="n"/>
      <c r="F8" s="62" t="n"/>
      <c r="G8" s="62" t="n"/>
      <c r="H8" s="62" t="n"/>
      <c r="I8" s="63" t="n"/>
      <c r="J8" s="8" t="n"/>
      <c r="P8" t="inlineStr">
        <is>
          <t>Material</t>
        </is>
      </c>
    </row>
    <row r="9" ht="48" customHeight="1">
      <c r="B9" s="4" t="n"/>
      <c r="C9" s="19" t="inlineStr">
        <is>
          <t>Cliente:</t>
        </is>
      </c>
      <c r="D9" s="55" t="n"/>
      <c r="E9" s="64" t="n"/>
      <c r="F9" s="20" t="inlineStr">
        <is>
          <t>Contato</t>
        </is>
      </c>
      <c r="G9" s="21" t="n"/>
      <c r="H9" s="22" t="inlineStr">
        <is>
          <t>Endereço:</t>
        </is>
      </c>
      <c r="I9" s="23" t="n"/>
      <c r="J9" s="8" t="n"/>
    </row>
    <row r="10" ht="39.95" customHeight="1">
      <c r="B10" s="4" t="n"/>
      <c r="C10" s="24" t="inlineStr">
        <is>
          <t>Escola:</t>
        </is>
      </c>
      <c r="D10" s="25" t="n"/>
      <c r="E10" s="26" t="n"/>
      <c r="F10" s="61" t="inlineStr">
        <is>
          <t>CNPJ:</t>
        </is>
      </c>
      <c r="G10" s="25" t="n"/>
      <c r="H10" s="28" t="inlineStr">
        <is>
          <t>Telefone:</t>
        </is>
      </c>
      <c r="I10" s="29" t="n"/>
      <c r="J10" s="8" t="n"/>
    </row>
    <row r="11" ht="24" customHeight="1">
      <c r="B11" s="4" t="n"/>
      <c r="C11" s="30" t="n"/>
      <c r="D11" s="30" t="n"/>
      <c r="E11" s="30" t="n"/>
      <c r="F11" s="30" t="n"/>
      <c r="G11" s="30" t="n"/>
      <c r="H11" s="30" t="n"/>
      <c r="I11" s="30" t="n"/>
      <c r="J11" s="8" t="n"/>
    </row>
    <row r="12" ht="39.95" customHeight="1">
      <c r="B12" s="4" t="n"/>
      <c r="C12" s="39" t="inlineStr">
        <is>
          <t>Proposta</t>
        </is>
      </c>
      <c r="D12" s="62" t="n"/>
      <c r="E12" s="62" t="n"/>
      <c r="F12" s="62" t="n"/>
      <c r="G12" s="62" t="n"/>
      <c r="H12" s="62" t="n"/>
      <c r="I12" s="63" t="n"/>
      <c r="J12" s="8" t="n"/>
    </row>
    <row r="13" ht="39.95" customHeight="1">
      <c r="B13" s="4" t="n"/>
      <c r="C13" s="56" t="inlineStr">
        <is>
          <t>Condições pagamento:</t>
        </is>
      </c>
      <c r="D13" s="65" t="n"/>
      <c r="E13" s="65" t="n"/>
      <c r="F13" s="65" t="n"/>
      <c r="G13" s="31" t="inlineStr">
        <is>
          <t xml:space="preserve">A vista </t>
        </is>
      </c>
      <c r="H13" s="32" t="inlineStr">
        <is>
          <t>Felipe Gomes</t>
        </is>
      </c>
      <c r="I13" s="33" t="inlineStr">
        <is>
          <t>(11) 98151-8920</t>
        </is>
      </c>
      <c r="J13" s="8" t="n"/>
    </row>
    <row r="14" ht="39.95" customHeight="1">
      <c r="B14" s="4" t="n"/>
      <c r="C14" s="58" t="inlineStr">
        <is>
          <t>Validade da proposta:</t>
        </is>
      </c>
      <c r="D14" s="66" t="n"/>
      <c r="E14" s="66" t="n"/>
      <c r="F14" s="66" t="n"/>
      <c r="G14" s="34" t="inlineStr">
        <is>
          <t>60 dias</t>
        </is>
      </c>
      <c r="H14" s="34" t="inlineStr">
        <is>
          <t>Leonardo Braulino</t>
        </is>
      </c>
      <c r="I14" s="35" t="inlineStr">
        <is>
          <t>(11) 96928-6036</t>
        </is>
      </c>
      <c r="J14" s="8" t="n"/>
    </row>
    <row r="15" ht="49.5" customHeight="1">
      <c r="B15" s="4" t="n"/>
      <c r="C15" s="60" t="inlineStr">
        <is>
          <t>Objetivo da proposta</t>
        </is>
      </c>
      <c r="D15" s="67" t="n"/>
      <c r="E15" s="67" t="n"/>
      <c r="F15" s="67" t="n"/>
      <c r="G15" s="36" t="inlineStr">
        <is>
          <t>A presente proposta tem por objetivo a prestação de serviços de:</t>
        </is>
      </c>
      <c r="H15" s="37" t="inlineStr">
        <is>
          <t>Material</t>
        </is>
      </c>
      <c r="I15" s="38" t="n"/>
      <c r="J15" s="8" t="n"/>
    </row>
    <row r="16" ht="23.25" customHeight="1">
      <c r="B16" s="4" t="n"/>
      <c r="C16" s="10" t="n"/>
      <c r="D16" s="10" t="n"/>
      <c r="E16" s="10" t="n"/>
      <c r="F16" s="10" t="n"/>
      <c r="G16" s="10" t="n"/>
      <c r="H16" s="10" t="n"/>
      <c r="I16" s="10" t="n"/>
      <c r="J16" s="8" t="n"/>
    </row>
    <row r="17" ht="23.25" customHeight="1">
      <c r="B17" s="4" t="n"/>
      <c r="C17" s="39" t="inlineStr">
        <is>
          <t>Item</t>
        </is>
      </c>
      <c r="D17" s="39" t="inlineStr">
        <is>
          <t>Código</t>
        </is>
      </c>
      <c r="E17" s="39" t="inlineStr">
        <is>
          <t>Qtd</t>
        </is>
      </c>
      <c r="F17" s="39" t="inlineStr">
        <is>
          <t>Und</t>
        </is>
      </c>
      <c r="G17" s="39" t="inlineStr">
        <is>
          <t>Descrição</t>
        </is>
      </c>
      <c r="H17" s="51" t="inlineStr">
        <is>
          <t>Vl. unitário</t>
        </is>
      </c>
      <c r="I17" s="39" t="inlineStr">
        <is>
          <t>Vl Total</t>
        </is>
      </c>
      <c r="J17" s="8" t="n"/>
    </row>
    <row r="18" ht="26.25" customHeight="1">
      <c r="B18" s="4" t="n"/>
      <c r="C18" s="40" t="n">
        <v>1</v>
      </c>
      <c r="D18" s="40" t="n"/>
      <c r="E18" s="40" t="n">
        <v>10</v>
      </c>
      <c r="F18" s="40" t="n"/>
      <c r="G18" s="41" t="inlineStr">
        <is>
          <t>Teste produto</t>
        </is>
      </c>
      <c r="H18" s="68" t="n">
        <v>50</v>
      </c>
      <c r="I18" s="69" t="n">
        <v>500</v>
      </c>
      <c r="J18" s="70" t="n"/>
    </row>
    <row r="19" ht="26.25" customHeight="1">
      <c r="B19" s="4" t="n"/>
      <c r="C19" s="40" t="n">
        <v>2</v>
      </c>
      <c r="D19" s="40" t="n"/>
      <c r="E19" s="40" t="n"/>
      <c r="F19" s="40" t="n"/>
      <c r="G19" s="41" t="n"/>
      <c r="H19" s="68" t="n"/>
      <c r="I19" s="69">
        <f>H19*E19</f>
        <v/>
      </c>
      <c r="J19" s="70" t="n"/>
    </row>
    <row r="20" ht="26.25" customHeight="1">
      <c r="B20" s="4" t="n"/>
      <c r="C20" s="40" t="n">
        <v>3</v>
      </c>
      <c r="D20" s="40" t="n"/>
      <c r="E20" s="40" t="n"/>
      <c r="F20" s="40" t="n"/>
      <c r="G20" s="41" t="n"/>
      <c r="H20" s="68" t="n"/>
      <c r="I20" s="69">
        <f>H20*E20</f>
        <v/>
      </c>
      <c r="J20" s="70" t="n"/>
    </row>
    <row r="21" ht="26.25" customHeight="1">
      <c r="B21" s="4" t="n"/>
      <c r="C21" s="40" t="n">
        <v>4</v>
      </c>
      <c r="D21" s="40" t="n"/>
      <c r="E21" s="40" t="n"/>
      <c r="F21" s="40" t="n"/>
      <c r="G21" s="41" t="n"/>
      <c r="H21" s="68" t="n"/>
      <c r="I21" s="69">
        <f>H21*E21</f>
        <v/>
      </c>
      <c r="J21" s="70" t="n"/>
    </row>
    <row r="22" ht="26.25" customHeight="1">
      <c r="B22" s="4" t="n"/>
      <c r="C22" s="40" t="n">
        <v>5</v>
      </c>
      <c r="D22" s="40" t="n"/>
      <c r="E22" s="40" t="n"/>
      <c r="F22" s="40" t="n"/>
      <c r="G22" s="41" t="n"/>
      <c r="H22" s="68" t="n"/>
      <c r="I22" s="69">
        <f>H22*E22</f>
        <v/>
      </c>
      <c r="J22" s="70" t="n"/>
    </row>
    <row r="23" ht="26.25" customHeight="1">
      <c r="B23" s="4" t="n"/>
      <c r="C23" s="40" t="n">
        <v>6</v>
      </c>
      <c r="D23" s="40" t="n"/>
      <c r="E23" s="40" t="n"/>
      <c r="F23" s="40" t="n"/>
      <c r="G23" s="41" t="n"/>
      <c r="H23" s="68" t="n"/>
      <c r="I23" s="69">
        <f>H23*E23</f>
        <v/>
      </c>
      <c r="J23" s="70" t="n"/>
    </row>
    <row r="24" ht="26.25" customHeight="1">
      <c r="B24" s="4" t="n"/>
      <c r="C24" s="40" t="n">
        <v>7</v>
      </c>
      <c r="D24" s="40" t="n"/>
      <c r="E24" s="40" t="n"/>
      <c r="F24" s="40" t="n"/>
      <c r="G24" s="41" t="n"/>
      <c r="H24" s="68" t="n"/>
      <c r="I24" s="69">
        <f>H24*E24</f>
        <v/>
      </c>
      <c r="J24" s="70" t="n"/>
    </row>
    <row r="25" ht="26.25" customHeight="1">
      <c r="B25" s="4" t="n"/>
      <c r="C25" s="40" t="n">
        <v>8</v>
      </c>
      <c r="D25" s="40" t="n"/>
      <c r="E25" s="40" t="n"/>
      <c r="F25" s="40" t="n"/>
      <c r="G25" s="41" t="n"/>
      <c r="H25" s="68" t="n"/>
      <c r="I25" s="69">
        <f>H25*E25</f>
        <v/>
      </c>
      <c r="J25" s="70" t="n"/>
    </row>
    <row r="26" ht="26.25" customHeight="1">
      <c r="B26" s="4" t="n"/>
      <c r="C26" s="40" t="n">
        <v>9</v>
      </c>
      <c r="D26" s="40" t="n"/>
      <c r="E26" s="40" t="n"/>
      <c r="F26" s="40" t="n"/>
      <c r="G26" s="41" t="n"/>
      <c r="H26" s="68" t="n"/>
      <c r="I26" s="69">
        <f>H26*E26</f>
        <v/>
      </c>
      <c r="J26" s="70" t="n"/>
    </row>
    <row r="27" ht="26.25" customHeight="1">
      <c r="B27" s="4" t="n"/>
      <c r="C27" s="40" t="n">
        <v>10</v>
      </c>
      <c r="D27" s="40" t="n"/>
      <c r="E27" s="40" t="n"/>
      <c r="F27" s="40" t="n"/>
      <c r="G27" s="41" t="n"/>
      <c r="H27" s="68" t="n"/>
      <c r="I27" s="69">
        <f>H27*E27</f>
        <v/>
      </c>
      <c r="J27" s="70" t="n"/>
    </row>
    <row r="28" ht="26.25" customHeight="1">
      <c r="B28" s="4" t="n"/>
      <c r="C28" s="40" t="n">
        <v>11</v>
      </c>
      <c r="D28" s="40" t="n"/>
      <c r="E28" s="40" t="n"/>
      <c r="F28" s="40" t="n"/>
      <c r="G28" s="41" t="n"/>
      <c r="H28" s="68" t="n"/>
      <c r="I28" s="69">
        <f>H28*E28</f>
        <v/>
      </c>
      <c r="J28" s="70" t="n"/>
    </row>
    <row r="29" ht="26.25" customHeight="1">
      <c r="B29" s="4" t="n"/>
      <c r="C29" s="40" t="n">
        <v>12</v>
      </c>
      <c r="D29" s="40" t="n"/>
      <c r="E29" s="40" t="n"/>
      <c r="F29" s="40" t="n"/>
      <c r="G29" s="41" t="n"/>
      <c r="H29" s="68" t="n"/>
      <c r="I29" s="69">
        <f>H29*E29</f>
        <v/>
      </c>
      <c r="J29" s="70" t="n"/>
    </row>
    <row r="30" ht="26.25" customHeight="1">
      <c r="B30" s="4" t="n"/>
      <c r="C30" s="40" t="n">
        <v>13</v>
      </c>
      <c r="D30" s="40" t="n"/>
      <c r="E30" s="40" t="n"/>
      <c r="F30" s="40" t="n"/>
      <c r="G30" s="41" t="n"/>
      <c r="H30" s="68" t="n"/>
      <c r="I30" s="69">
        <f>H30*E30</f>
        <v/>
      </c>
      <c r="J30" s="70" t="n"/>
    </row>
    <row r="31" ht="26.25" customHeight="1">
      <c r="B31" s="4" t="n"/>
      <c r="C31" s="40" t="n">
        <v>14</v>
      </c>
      <c r="D31" s="40" t="n"/>
      <c r="E31" s="40" t="n"/>
      <c r="F31" s="40" t="n"/>
      <c r="G31" s="41" t="n"/>
      <c r="H31" s="68" t="n"/>
      <c r="I31" s="69">
        <f>H31*E31</f>
        <v/>
      </c>
      <c r="J31" s="70" t="n"/>
    </row>
    <row r="32" ht="26.25" customHeight="1">
      <c r="B32" s="4" t="n"/>
      <c r="C32" s="40" t="n">
        <v>15</v>
      </c>
      <c r="D32" s="40" t="n"/>
      <c r="E32" s="40" t="n"/>
      <c r="F32" s="40" t="n"/>
      <c r="G32" s="41" t="n"/>
      <c r="H32" s="68" t="n"/>
      <c r="I32" s="69">
        <f>H32*E32</f>
        <v/>
      </c>
      <c r="J32" s="70" t="n"/>
    </row>
    <row r="33" ht="26.25" customHeight="1">
      <c r="B33" s="4" t="n"/>
      <c r="C33" s="40" t="n">
        <v>16</v>
      </c>
      <c r="D33" s="40" t="n"/>
      <c r="E33" s="40" t="n"/>
      <c r="F33" s="40" t="n"/>
      <c r="G33" s="41" t="n"/>
      <c r="H33" s="68" t="n"/>
      <c r="I33" s="69">
        <f>H33*E33</f>
        <v/>
      </c>
      <c r="J33" s="70" t="n"/>
    </row>
    <row r="34" ht="26.25" customHeight="1">
      <c r="B34" s="4" t="n"/>
      <c r="C34" s="40" t="n">
        <v>17</v>
      </c>
      <c r="D34" s="40" t="n"/>
      <c r="E34" s="40" t="n"/>
      <c r="F34" s="40" t="n"/>
      <c r="G34" s="41" t="n"/>
      <c r="H34" s="68" t="n"/>
      <c r="I34" s="69">
        <f>H34*E34</f>
        <v/>
      </c>
      <c r="J34" s="70" t="n"/>
    </row>
    <row r="35" ht="26.25" customHeight="1">
      <c r="B35" s="4" t="n"/>
      <c r="C35" s="40" t="n">
        <v>18</v>
      </c>
      <c r="D35" s="40" t="n"/>
      <c r="E35" s="40" t="n"/>
      <c r="F35" s="40" t="n"/>
      <c r="G35" s="41" t="n"/>
      <c r="H35" s="68" t="n"/>
      <c r="I35" s="69">
        <f>H35*E35</f>
        <v/>
      </c>
      <c r="J35" s="70" t="n"/>
    </row>
    <row r="36" ht="26.25" customHeight="1">
      <c r="B36" s="4" t="n"/>
      <c r="C36" s="40" t="n">
        <v>19</v>
      </c>
      <c r="D36" s="40" t="n"/>
      <c r="E36" s="40" t="n"/>
      <c r="F36" s="40" t="n"/>
      <c r="G36" s="41" t="n"/>
      <c r="H36" s="68" t="n"/>
      <c r="I36" s="69">
        <f>H36*E36</f>
        <v/>
      </c>
      <c r="J36" s="70" t="n"/>
    </row>
    <row r="37" ht="26.25" customHeight="1">
      <c r="B37" s="4" t="n"/>
      <c r="C37" s="40" t="n">
        <v>20</v>
      </c>
      <c r="D37" s="40" t="n"/>
      <c r="E37" s="40" t="n"/>
      <c r="F37" s="40" t="n"/>
      <c r="G37" s="41" t="n"/>
      <c r="H37" s="68" t="n"/>
      <c r="I37" s="69">
        <f>H37*E37</f>
        <v/>
      </c>
      <c r="J37" s="70" t="n"/>
    </row>
    <row r="38" ht="26.25" customHeight="1">
      <c r="B38" s="4" t="n"/>
      <c r="C38" s="40" t="n">
        <v>21</v>
      </c>
      <c r="D38" s="40" t="n"/>
      <c r="E38" s="40" t="n"/>
      <c r="F38" s="40" t="n"/>
      <c r="G38" s="41" t="n"/>
      <c r="H38" s="68" t="n"/>
      <c r="I38" s="69">
        <f>H38*E38</f>
        <v/>
      </c>
      <c r="J38" s="70" t="n"/>
    </row>
    <row r="39" ht="26.25" customHeight="1">
      <c r="B39" s="4" t="n"/>
      <c r="C39" s="40" t="n">
        <v>22</v>
      </c>
      <c r="D39" s="40" t="n"/>
      <c r="E39" s="40" t="n"/>
      <c r="F39" s="40" t="n"/>
      <c r="G39" s="41" t="n"/>
      <c r="H39" s="68" t="n"/>
      <c r="I39" s="69">
        <f>H39*E39</f>
        <v/>
      </c>
      <c r="J39" s="70" t="n"/>
    </row>
    <row r="40" ht="26.25" customHeight="1">
      <c r="B40" s="4" t="n"/>
      <c r="C40" s="40" t="n">
        <v>23</v>
      </c>
      <c r="D40" s="40" t="n"/>
      <c r="E40" s="40" t="n"/>
      <c r="F40" s="40" t="n"/>
      <c r="G40" s="41" t="n"/>
      <c r="H40" s="68" t="n"/>
      <c r="I40" s="69">
        <f>H40*E40</f>
        <v/>
      </c>
      <c r="J40" s="70" t="n"/>
    </row>
    <row r="41" ht="26.25" customHeight="1">
      <c r="B41" s="4" t="n"/>
      <c r="C41" s="40" t="n">
        <v>24</v>
      </c>
      <c r="D41" s="40" t="n"/>
      <c r="E41" s="40" t="n"/>
      <c r="F41" s="40" t="n"/>
      <c r="G41" s="41" t="n"/>
      <c r="H41" s="68" t="n"/>
      <c r="I41" s="69">
        <f>H41*E41</f>
        <v/>
      </c>
      <c r="J41" s="70" t="n"/>
    </row>
    <row r="42" ht="26.25" customHeight="1">
      <c r="B42" s="4" t="n"/>
      <c r="C42" s="40" t="n">
        <v>25</v>
      </c>
      <c r="D42" s="40" t="n"/>
      <c r="E42" s="40" t="n"/>
      <c r="F42" s="40" t="n"/>
      <c r="G42" s="41" t="n"/>
      <c r="H42" s="68" t="n"/>
      <c r="I42" s="69">
        <f>H42*E42</f>
        <v/>
      </c>
      <c r="J42" s="70" t="n"/>
    </row>
    <row r="43" ht="26.25" customHeight="1">
      <c r="B43" s="4" t="n"/>
      <c r="C43" s="40" t="n">
        <v>26</v>
      </c>
      <c r="D43" s="40" t="n"/>
      <c r="E43" s="40" t="n"/>
      <c r="F43" s="40" t="n"/>
      <c r="G43" s="41" t="n"/>
      <c r="H43" s="68" t="n"/>
      <c r="I43" s="69">
        <f>H43*E43</f>
        <v/>
      </c>
      <c r="J43" s="70" t="n"/>
    </row>
    <row r="44" ht="26.25" customHeight="1">
      <c r="B44" s="4" t="n"/>
      <c r="C44" s="40" t="n">
        <v>27</v>
      </c>
      <c r="D44" s="40" t="n"/>
      <c r="E44" s="40" t="n"/>
      <c r="F44" s="40" t="n"/>
      <c r="G44" s="41" t="n"/>
      <c r="H44" s="68" t="n"/>
      <c r="I44" s="69">
        <f>H44*E44</f>
        <v/>
      </c>
      <c r="J44" s="70" t="n"/>
    </row>
    <row r="45" ht="26.25" customHeight="1">
      <c r="B45" s="4" t="n"/>
      <c r="C45" s="40" t="n">
        <v>28</v>
      </c>
      <c r="D45" s="40" t="n"/>
      <c r="E45" s="40" t="n"/>
      <c r="F45" s="40" t="n"/>
      <c r="G45" s="41" t="n"/>
      <c r="H45" s="68" t="n"/>
      <c r="I45" s="69">
        <f>H45*E45</f>
        <v/>
      </c>
      <c r="J45" s="70" t="n"/>
    </row>
    <row r="46" ht="26.25" customHeight="1">
      <c r="B46" s="4" t="n"/>
      <c r="C46" s="40" t="n">
        <v>29</v>
      </c>
      <c r="D46" s="40" t="n"/>
      <c r="E46" s="40" t="n"/>
      <c r="F46" s="40" t="n"/>
      <c r="G46" s="41" t="n"/>
      <c r="H46" s="68" t="n"/>
      <c r="I46" s="69">
        <f>H46*E46</f>
        <v/>
      </c>
      <c r="J46" s="70" t="n"/>
    </row>
    <row r="47" ht="26.25" customHeight="1">
      <c r="B47" s="4" t="n"/>
      <c r="C47" s="40" t="n">
        <v>30</v>
      </c>
      <c r="D47" s="40" t="n"/>
      <c r="E47" s="40" t="n"/>
      <c r="F47" s="40" t="n"/>
      <c r="G47" s="41" t="n"/>
      <c r="H47" s="68" t="n"/>
      <c r="I47" s="69">
        <f>H47*E47</f>
        <v/>
      </c>
      <c r="J47" s="70" t="n"/>
    </row>
    <row r="48" ht="26.25" customHeight="1">
      <c r="B48" s="4" t="n"/>
      <c r="C48" s="40" t="n">
        <v>31</v>
      </c>
      <c r="D48" s="40" t="n"/>
      <c r="E48" s="40" t="n"/>
      <c r="F48" s="40" t="n"/>
      <c r="G48" s="41" t="n"/>
      <c r="H48" s="68" t="n"/>
      <c r="I48" s="69">
        <f>H48*E48</f>
        <v/>
      </c>
      <c r="J48" s="70" t="n"/>
    </row>
    <row r="49" ht="26.25" customHeight="1">
      <c r="B49" s="4" t="n"/>
      <c r="C49" s="40" t="n">
        <v>32</v>
      </c>
      <c r="D49" s="40" t="n"/>
      <c r="E49" s="40" t="n"/>
      <c r="F49" s="40" t="n"/>
      <c r="G49" s="41" t="n"/>
      <c r="H49" s="68" t="n"/>
      <c r="I49" s="69">
        <f>H49*E49</f>
        <v/>
      </c>
      <c r="J49" s="70" t="n"/>
    </row>
    <row r="50" ht="26.25" customHeight="1">
      <c r="B50" s="4" t="n"/>
      <c r="C50" s="40" t="n">
        <v>33</v>
      </c>
      <c r="D50" s="40" t="n"/>
      <c r="E50" s="40" t="n"/>
      <c r="F50" s="40" t="n"/>
      <c r="G50" s="41" t="n"/>
      <c r="H50" s="68" t="n"/>
      <c r="I50" s="69">
        <f>H50*E50</f>
        <v/>
      </c>
      <c r="J50" s="70" t="n"/>
    </row>
    <row r="51" ht="26.25" customHeight="1">
      <c r="B51" s="4" t="n"/>
      <c r="C51" s="40" t="n">
        <v>34</v>
      </c>
      <c r="D51" s="40" t="n"/>
      <c r="E51" s="40" t="n"/>
      <c r="F51" s="40" t="n"/>
      <c r="G51" s="41" t="n"/>
      <c r="H51" s="68" t="n"/>
      <c r="I51" s="69">
        <f>H51*E51</f>
        <v/>
      </c>
      <c r="J51" s="70" t="n"/>
    </row>
    <row r="52" ht="26.25" customHeight="1">
      <c r="B52" s="4" t="n"/>
      <c r="C52" s="40" t="n">
        <v>35</v>
      </c>
      <c r="D52" s="40" t="n"/>
      <c r="E52" s="40" t="n"/>
      <c r="F52" s="40" t="n"/>
      <c r="G52" s="41" t="n"/>
      <c r="H52" s="68" t="n"/>
      <c r="I52" s="69">
        <f>H52*E52</f>
        <v/>
      </c>
      <c r="J52" s="70" t="n"/>
    </row>
    <row r="53" ht="24.95" customHeight="1">
      <c r="B53" s="4" t="n"/>
      <c r="C53" s="48" t="inlineStr">
        <is>
          <t>VALOR TOTAL</t>
        </is>
      </c>
      <c r="D53" s="62" t="n"/>
      <c r="E53" s="62" t="n"/>
      <c r="F53" s="62" t="n"/>
      <c r="G53" s="62" t="n"/>
      <c r="H53" s="62" t="n"/>
      <c r="I53" s="71" t="n"/>
      <c r="J53" s="8" t="n"/>
    </row>
    <row r="54" ht="24.95" customHeight="1">
      <c r="B54" s="4" t="n"/>
      <c r="C54" s="72" t="inlineStr">
        <is>
          <t>PRAZO DE ENTREGA</t>
        </is>
      </c>
      <c r="D54" s="62" t="n"/>
      <c r="E54" s="62" t="n"/>
      <c r="F54" s="62" t="n"/>
      <c r="G54" s="62" t="n"/>
      <c r="H54" s="63" t="n"/>
      <c r="I54" s="46" t="inlineStr">
        <is>
          <t>A combinar</t>
        </is>
      </c>
      <c r="J54" s="8" t="n"/>
    </row>
    <row r="55" ht="7.5" customHeight="1">
      <c r="B55" s="4" t="n"/>
      <c r="C55" s="10" t="n"/>
      <c r="D55" s="10" t="n"/>
      <c r="E55" s="10" t="n"/>
      <c r="F55" s="10" t="n"/>
      <c r="G55" s="10" t="n"/>
      <c r="H55" s="10" t="n"/>
      <c r="I55" s="10" t="n"/>
      <c r="J55" s="8" t="n"/>
    </row>
    <row r="56" ht="23.25" customFormat="1" customHeight="1" s="47">
      <c r="B56" s="4" t="n"/>
      <c r="C56" s="39" t="inlineStr">
        <is>
          <t>Observações:</t>
        </is>
      </c>
      <c r="D56" s="62" t="n"/>
      <c r="E56" s="62" t="n"/>
      <c r="F56" s="62" t="n"/>
      <c r="G56" s="62" t="n"/>
      <c r="H56" s="62" t="n"/>
      <c r="I56" s="63" t="n"/>
      <c r="J56" s="8" t="n"/>
    </row>
    <row r="57" ht="202.5" customFormat="1" customHeight="1" s="47">
      <c r="B57" s="4" t="n"/>
      <c r="C57" s="54" t="n"/>
      <c r="D57" s="62" t="n"/>
      <c r="E57" s="62" t="n"/>
      <c r="F57" s="62" t="n"/>
      <c r="G57" s="62" t="n"/>
      <c r="H57" s="62" t="n"/>
      <c r="I57" s="63" t="n"/>
      <c r="J57" s="8" t="n"/>
    </row>
    <row r="58" ht="7.5" customFormat="1" customHeight="1" s="47">
      <c r="B58" s="14" t="n"/>
      <c r="C58" s="15" t="n"/>
      <c r="D58" s="15" t="n"/>
      <c r="E58" s="15" t="n"/>
      <c r="F58" s="15" t="n"/>
      <c r="G58" s="15" t="n"/>
      <c r="H58" s="15" t="n"/>
      <c r="I58" s="15" t="n"/>
      <c r="J58" s="17" t="n"/>
    </row>
  </sheetData>
  <mergeCells count="10">
    <mergeCell ref="C13:F13"/>
    <mergeCell ref="C54:H54"/>
    <mergeCell ref="C57:I57"/>
    <mergeCell ref="C56:I56"/>
    <mergeCell ref="C8:I8"/>
    <mergeCell ref="C53:H53"/>
    <mergeCell ref="C12:I12"/>
    <mergeCell ref="C15:F15"/>
    <mergeCell ref="D9:E9"/>
    <mergeCell ref="C14:F14"/>
  </mergeCells>
  <dataValidations count="1">
    <dataValidation sqref="H15" showDropDown="0" showInputMessage="1" showErrorMessage="1" allowBlank="1" type="list">
      <formula1>$P$7:$P$8</formula1>
    </dataValidation>
  </dataValidations>
  <printOptions horizontalCentered="1" verticalCentered="1"/>
  <pageMargins left="0.25" right="0.25" top="0.75" bottom="0.75" header="0.3" footer="0.3"/>
  <pageSetup orientation="landscape" paperSize="9" scale="3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</dc:creator>
  <dcterms:created xmlns:dcterms="http://purl.org/dc/terms/" xmlns:xsi="http://www.w3.org/2001/XMLSchema-instance" xsi:type="dcterms:W3CDTF">2026-06-02T21:16:45Z</dcterms:created>
  <dcterms:modified xmlns:dcterms="http://purl.org/dc/terms/" xmlns:xsi="http://www.w3.org/2001/XMLSchema-instance" xsi:type="dcterms:W3CDTF">2026-06-02T23:17:12Z</dcterms:modified>
  <cp:lastModifiedBy>Leonardo</cp:lastModifiedBy>
</cp:coreProperties>
</file>